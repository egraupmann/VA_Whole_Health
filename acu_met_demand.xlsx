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evan_graupmann_va_gov/Documents/Desktop/acupuncture_python_code/"/>
    </mc:Choice>
  </mc:AlternateContent>
  <xr:revisionPtr revIDLastSave="0" documentId="8_{E438D92F-AD1C-445C-951A-516D7AFF9EFE}" xr6:coauthVersionLast="47" xr6:coauthVersionMax="47" xr10:uidLastSave="{00000000-0000-0000-0000-000000000000}"/>
  <bookViews>
    <workbookView xWindow="-120" yWindow="-120" windowWidth="29040" windowHeight="17640" xr2:uid="{E8020E2D-7039-4F72-A90D-2E18A09D9967}"/>
  </bookViews>
  <sheets>
    <sheet name="summary ACU counts" sheetId="1" r:id="rId1"/>
  </sheets>
  <definedNames>
    <definedName name="_xlnm._FilterDatabase" localSheetId="0" hidden="1">'summary ACU counts'!$A$3:$G$9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" i="1" l="1"/>
  <c r="F31" i="1" s="1"/>
  <c r="E30" i="1"/>
  <c r="F30" i="1" s="1"/>
  <c r="E29" i="1"/>
  <c r="F29" i="1" s="1"/>
  <c r="E28" i="1"/>
  <c r="F28" i="1" s="1"/>
  <c r="E27" i="1"/>
  <c r="F27" i="1" s="1"/>
</calcChain>
</file>

<file path=xl/sharedStrings.xml><?xml version="1.0" encoding="utf-8"?>
<sst xmlns="http://schemas.openxmlformats.org/spreadsheetml/2006/main" count="32" uniqueCount="31">
  <si>
    <t>This contains several tables that slices current users, 'Met Demand', several ways</t>
  </si>
  <si>
    <t>fiscalyear</t>
  </si>
  <si>
    <t>traditional_acupuncture_count</t>
  </si>
  <si>
    <t>bfa_acupuncture_count</t>
  </si>
  <si>
    <t>both_acupuncture_count</t>
  </si>
  <si>
    <t>unique_patient_count</t>
  </si>
  <si>
    <t>unique_traditional_acupuncture_patient_count</t>
  </si>
  <si>
    <t>unique_BFA_acupuncture_patient_count</t>
  </si>
  <si>
    <t>The counts below include all community care and VA acupuncture distinct user counts. This is the full universe of 'met demand'</t>
  </si>
  <si>
    <t xml:space="preserve">These are the primary numbers of interest </t>
  </si>
  <si>
    <t>These were for QA</t>
  </si>
  <si>
    <t>FiscalYear</t>
  </si>
  <si>
    <t>unique_user_count</t>
  </si>
  <si>
    <t>unique_VA_user_count</t>
  </si>
  <si>
    <t>unique_CC_user_count</t>
  </si>
  <si>
    <t>unique_VA_VISTA_user_count</t>
  </si>
  <si>
    <t>unique_VA_MILL_user_count</t>
  </si>
  <si>
    <t>unique_CC_VISTA_user_count</t>
  </si>
  <si>
    <t>unique_CC_MILL_user_count</t>
  </si>
  <si>
    <t>Acupuncture new users</t>
  </si>
  <si>
    <t>FY22_new_users</t>
  </si>
  <si>
    <t>FY23_new_users</t>
  </si>
  <si>
    <t>FY24_new_users</t>
  </si>
  <si>
    <t>FY25_new_users</t>
  </si>
  <si>
    <t>FY26_new_users</t>
  </si>
  <si>
    <t>FY25_user_using_since_at_least_FY23</t>
  </si>
  <si>
    <t>FY26_user_using_since_at_least_FY24</t>
  </si>
  <si>
    <t>Total Users</t>
  </si>
  <si>
    <t>New Users</t>
  </si>
  <si>
    <t>Return Users</t>
  </si>
  <si>
    <t>Lost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</si>
</sst>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0" fontId="0" fillId="3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1" applyNumberFormat="1" applyFont="1" applyAlignment="1">
      <alignment wrapText="1"/>
    </xf>
    <xf numFmtId="164" fontId="3" fillId="7" borderId="1" xfId="1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3" fillId="7" borderId="3" xfId="1" applyNumberFormat="1" applyFont="1" applyFill="1" applyBorder="1" applyAlignment="1">
      <alignment horizontal="center"/>
    </xf>
    <xf numFmtId="164" fontId="3" fillId="7" borderId="2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/>
    </xf>
    <xf numFmtId="1" fontId="0" fillId="0" borderId="5" xfId="1" applyNumberFormat="1" applyFont="1" applyBorder="1"/>
    <xf numFmtId="164" fontId="0" fillId="0" borderId="6" xfId="1" applyNumberFormat="1" applyFont="1" applyBorder="1"/>
    <xf numFmtId="164" fontId="0" fillId="0" borderId="0" xfId="1" applyNumberFormat="1" applyFont="1" applyBorder="1"/>
    <xf numFmtId="164" fontId="0" fillId="0" borderId="6" xfId="0" applyNumberFormat="1" applyBorder="1"/>
    <xf numFmtId="164" fontId="0" fillId="0" borderId="7" xfId="1" applyNumberFormat="1" applyFont="1" applyBorder="1"/>
    <xf numFmtId="1" fontId="0" fillId="0" borderId="5" xfId="0" applyNumberFormat="1" applyBorder="1"/>
    <xf numFmtId="164" fontId="0" fillId="0" borderId="0" xfId="1" applyNumberFormat="1" applyFont="1" applyBorder="1" applyAlignment="1">
      <alignment wrapText="1"/>
    </xf>
    <xf numFmtId="1" fontId="0" fillId="0" borderId="8" xfId="0" applyNumberFormat="1" applyBorder="1"/>
    <xf numFmtId="164" fontId="0" fillId="0" borderId="9" xfId="1" applyNumberFormat="1" applyFont="1" applyBorder="1"/>
    <xf numFmtId="164" fontId="0" fillId="0" borderId="10" xfId="1" applyNumberFormat="1" applyFont="1" applyBorder="1" applyAlignment="1">
      <alignment wrapText="1"/>
    </xf>
    <xf numFmtId="164" fontId="0" fillId="0" borderId="9" xfId="0" applyNumberFormat="1" applyBorder="1"/>
    <xf numFmtId="164" fontId="0" fillId="0" borderId="1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0CAC-08B4-44BA-BB2F-B483283D821A}">
  <dimension ref="A1:H31"/>
  <sheetViews>
    <sheetView tabSelected="1" zoomScaleNormal="100" workbookViewId="0">
      <selection activeCell="M16" sqref="M16"/>
    </sheetView>
  </sheetViews>
  <sheetFormatPr defaultRowHeight="15" x14ac:dyDescent="0.25"/>
  <cols>
    <col min="1" max="1" width="12.7109375" customWidth="1"/>
    <col min="2" max="2" width="16.42578125" customWidth="1"/>
    <col min="3" max="3" width="16.28515625" customWidth="1"/>
    <col min="4" max="4" width="19.5703125" customWidth="1"/>
    <col min="5" max="5" width="17.85546875" customWidth="1"/>
    <col min="6" max="6" width="19.85546875" customWidth="1"/>
    <col min="7" max="7" width="25.28515625" customWidth="1"/>
    <col min="8" max="8" width="14.140625" bestFit="1" customWidth="1"/>
  </cols>
  <sheetData>
    <row r="1" spans="1:8" ht="18.75" x14ac:dyDescent="0.3">
      <c r="A1" s="1" t="s">
        <v>0</v>
      </c>
      <c r="B1" s="2"/>
      <c r="C1" s="2"/>
      <c r="D1" s="2"/>
      <c r="E1" s="2"/>
      <c r="F1" s="2"/>
    </row>
    <row r="2" spans="1:8" x14ac:dyDescent="0.25">
      <c r="A2" s="3"/>
      <c r="B2" s="3"/>
      <c r="C2" s="3"/>
    </row>
    <row r="3" spans="1:8" s="4" customFormat="1" ht="34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8" x14ac:dyDescent="0.25">
      <c r="A4">
        <v>2021</v>
      </c>
      <c r="B4" s="5">
        <v>217042</v>
      </c>
      <c r="C4" s="5">
        <v>42540</v>
      </c>
      <c r="D4" s="5">
        <v>38401</v>
      </c>
      <c r="E4" s="5">
        <v>58615</v>
      </c>
      <c r="F4" s="5">
        <v>56657</v>
      </c>
      <c r="G4" s="5">
        <v>14169</v>
      </c>
    </row>
    <row r="5" spans="1:8" x14ac:dyDescent="0.25">
      <c r="A5">
        <v>2022</v>
      </c>
      <c r="B5" s="5">
        <v>281992</v>
      </c>
      <c r="C5" s="5">
        <v>77204</v>
      </c>
      <c r="D5" s="5">
        <v>67305</v>
      </c>
      <c r="E5" s="5">
        <v>74082</v>
      </c>
      <c r="F5" s="5">
        <v>69910</v>
      </c>
      <c r="G5" s="5">
        <v>24842</v>
      </c>
    </row>
    <row r="6" spans="1:8" x14ac:dyDescent="0.25">
      <c r="A6">
        <v>2023</v>
      </c>
      <c r="B6" s="5">
        <v>369432</v>
      </c>
      <c r="C6" s="5">
        <v>106702</v>
      </c>
      <c r="D6" s="5">
        <v>95101</v>
      </c>
      <c r="E6" s="5">
        <v>92572</v>
      </c>
      <c r="F6" s="5">
        <v>88424</v>
      </c>
      <c r="G6" s="5">
        <v>32691</v>
      </c>
    </row>
    <row r="7" spans="1:8" x14ac:dyDescent="0.25">
      <c r="A7">
        <v>2024</v>
      </c>
      <c r="B7" s="5">
        <v>468533</v>
      </c>
      <c r="C7" s="5">
        <v>147966</v>
      </c>
      <c r="D7" s="5">
        <v>139154</v>
      </c>
      <c r="E7" s="5">
        <v>112336</v>
      </c>
      <c r="F7" s="5">
        <v>109382</v>
      </c>
      <c r="G7" s="5">
        <v>42811</v>
      </c>
    </row>
    <row r="8" spans="1:8" ht="23.25" customHeight="1" x14ac:dyDescent="0.25">
      <c r="A8">
        <v>2025</v>
      </c>
      <c r="B8" s="5">
        <v>519980</v>
      </c>
      <c r="C8" s="5">
        <v>182567</v>
      </c>
      <c r="D8" s="5">
        <v>175001</v>
      </c>
      <c r="E8" s="5">
        <v>119815</v>
      </c>
      <c r="F8" s="5">
        <v>117933</v>
      </c>
      <c r="G8" s="5">
        <v>47663</v>
      </c>
    </row>
    <row r="9" spans="1:8" ht="23.25" customHeight="1" x14ac:dyDescent="0.25">
      <c r="A9">
        <v>2026</v>
      </c>
      <c r="B9" s="5">
        <v>453484</v>
      </c>
      <c r="C9" s="5">
        <v>163317</v>
      </c>
      <c r="D9" s="5">
        <v>156450</v>
      </c>
      <c r="E9" s="5">
        <v>108709</v>
      </c>
      <c r="F9" s="5">
        <v>106868</v>
      </c>
      <c r="G9" s="5">
        <v>42416</v>
      </c>
    </row>
    <row r="10" spans="1:8" ht="23.25" customHeight="1" x14ac:dyDescent="0.25">
      <c r="F10" s="6"/>
    </row>
    <row r="11" spans="1:8" x14ac:dyDescent="0.25">
      <c r="C11" s="6"/>
    </row>
    <row r="12" spans="1:8" x14ac:dyDescent="0.25">
      <c r="A12" s="7" t="s">
        <v>8</v>
      </c>
      <c r="B12" s="7"/>
      <c r="C12" s="7"/>
      <c r="D12" s="7"/>
      <c r="E12" s="7"/>
      <c r="F12" s="7"/>
      <c r="G12" s="7"/>
    </row>
    <row r="13" spans="1:8" x14ac:dyDescent="0.25">
      <c r="A13" s="8" t="s">
        <v>9</v>
      </c>
      <c r="B13" s="8"/>
      <c r="C13" s="8"/>
      <c r="D13" s="8"/>
      <c r="E13" s="9" t="s">
        <v>10</v>
      </c>
      <c r="F13" s="9"/>
      <c r="G13" s="9"/>
      <c r="H13" s="9"/>
    </row>
    <row r="14" spans="1:8" s="12" customFormat="1" ht="38.25" customHeight="1" x14ac:dyDescent="0.25">
      <c r="A14" s="10" t="s">
        <v>11</v>
      </c>
      <c r="B14" s="10" t="s">
        <v>12</v>
      </c>
      <c r="C14" s="10" t="s">
        <v>13</v>
      </c>
      <c r="D14" s="10" t="s">
        <v>14</v>
      </c>
      <c r="E14" s="11" t="s">
        <v>15</v>
      </c>
      <c r="F14" s="11" t="s">
        <v>16</v>
      </c>
      <c r="G14" s="11" t="s">
        <v>17</v>
      </c>
      <c r="H14" s="11" t="s">
        <v>18</v>
      </c>
    </row>
    <row r="15" spans="1:8" x14ac:dyDescent="0.25">
      <c r="A15">
        <v>2021</v>
      </c>
      <c r="B15" s="5">
        <v>118409</v>
      </c>
      <c r="C15" s="5">
        <v>58615</v>
      </c>
      <c r="D15" s="5">
        <v>66105</v>
      </c>
      <c r="E15" s="5">
        <v>58379</v>
      </c>
      <c r="F15" s="5">
        <v>258</v>
      </c>
      <c r="G15" s="5">
        <v>65584</v>
      </c>
      <c r="H15" s="5">
        <v>555</v>
      </c>
    </row>
    <row r="16" spans="1:8" x14ac:dyDescent="0.25">
      <c r="A16">
        <v>2022</v>
      </c>
      <c r="B16" s="5">
        <v>140948</v>
      </c>
      <c r="C16" s="5">
        <v>74082</v>
      </c>
      <c r="D16" s="5">
        <v>75342</v>
      </c>
      <c r="E16" s="5">
        <v>73497</v>
      </c>
      <c r="F16" s="5">
        <v>925</v>
      </c>
      <c r="G16" s="5">
        <v>74737</v>
      </c>
      <c r="H16" s="5">
        <v>830</v>
      </c>
    </row>
    <row r="17" spans="1:8" x14ac:dyDescent="0.25">
      <c r="A17">
        <v>2023</v>
      </c>
      <c r="B17" s="5">
        <v>167441</v>
      </c>
      <c r="C17" s="5">
        <v>92572</v>
      </c>
      <c r="D17" s="5">
        <v>85723</v>
      </c>
      <c r="E17" s="5">
        <v>89991</v>
      </c>
      <c r="F17" s="5">
        <v>2589</v>
      </c>
      <c r="G17" s="5">
        <v>84759</v>
      </c>
      <c r="H17" s="5">
        <v>971</v>
      </c>
    </row>
    <row r="18" spans="1:8" x14ac:dyDescent="0.25">
      <c r="A18">
        <v>2024</v>
      </c>
      <c r="B18" s="5">
        <v>190610</v>
      </c>
      <c r="C18" s="5">
        <v>112336</v>
      </c>
      <c r="D18" s="5">
        <v>89925</v>
      </c>
      <c r="E18" s="5">
        <v>108279</v>
      </c>
      <c r="F18" s="5">
        <v>4308</v>
      </c>
      <c r="G18" s="5">
        <v>88470</v>
      </c>
      <c r="H18" s="5">
        <v>1527</v>
      </c>
    </row>
    <row r="19" spans="1:8" x14ac:dyDescent="0.25">
      <c r="A19">
        <v>2025</v>
      </c>
      <c r="B19" s="5">
        <v>197493</v>
      </c>
      <c r="C19" s="5">
        <v>119815</v>
      </c>
      <c r="D19" s="5">
        <v>89775</v>
      </c>
      <c r="E19" s="5">
        <v>114810</v>
      </c>
      <c r="F19" s="5">
        <v>5027</v>
      </c>
      <c r="G19" s="5">
        <v>86717</v>
      </c>
      <c r="H19" s="5">
        <v>3070</v>
      </c>
    </row>
    <row r="20" spans="1:8" x14ac:dyDescent="0.25">
      <c r="A20">
        <v>2026</v>
      </c>
      <c r="B20" s="5">
        <v>195335</v>
      </c>
      <c r="C20" s="5">
        <v>108709</v>
      </c>
      <c r="D20" s="5">
        <v>98739</v>
      </c>
      <c r="E20" s="5">
        <v>103449</v>
      </c>
      <c r="F20" s="5">
        <v>7067</v>
      </c>
      <c r="G20" s="5">
        <v>94418</v>
      </c>
      <c r="H20" s="5">
        <v>4882</v>
      </c>
    </row>
    <row r="22" spans="1:8" ht="15.75" x14ac:dyDescent="0.25">
      <c r="A22" s="13" t="s">
        <v>19</v>
      </c>
      <c r="B22" s="13"/>
      <c r="C22" s="13"/>
      <c r="D22" s="13"/>
      <c r="E22" s="13"/>
      <c r="F22" s="13"/>
      <c r="G22" s="13"/>
    </row>
    <row r="23" spans="1:8" s="16" customFormat="1" ht="30" x14ac:dyDescent="0.25">
      <c r="A23" s="14" t="s">
        <v>20</v>
      </c>
      <c r="B23" s="14" t="s">
        <v>21</v>
      </c>
      <c r="C23" s="14" t="s">
        <v>22</v>
      </c>
      <c r="D23" s="14" t="s">
        <v>23</v>
      </c>
      <c r="E23" s="14" t="s">
        <v>24</v>
      </c>
      <c r="F23" s="14" t="s">
        <v>25</v>
      </c>
      <c r="G23" s="14" t="s">
        <v>26</v>
      </c>
      <c r="H23" s="15"/>
    </row>
    <row r="24" spans="1:8" x14ac:dyDescent="0.25">
      <c r="A24" s="17">
        <v>94766</v>
      </c>
      <c r="B24" s="17">
        <v>105211</v>
      </c>
      <c r="C24" s="17">
        <v>111373</v>
      </c>
      <c r="D24" s="17">
        <v>106123</v>
      </c>
      <c r="E24" s="17">
        <v>95495</v>
      </c>
      <c r="F24" s="17">
        <v>35285</v>
      </c>
      <c r="G24" s="17">
        <v>40018</v>
      </c>
    </row>
    <row r="25" spans="1:8" ht="15.75" thickBot="1" x14ac:dyDescent="0.3">
      <c r="A25" s="5"/>
      <c r="B25" s="5"/>
      <c r="C25" s="5"/>
      <c r="D25" s="5"/>
      <c r="E25" s="5"/>
      <c r="F25" s="5"/>
      <c r="G25" s="5"/>
    </row>
    <row r="26" spans="1:8" ht="15.75" thickBot="1" x14ac:dyDescent="0.3">
      <c r="A26" s="5"/>
      <c r="B26" s="18" t="s">
        <v>11</v>
      </c>
      <c r="C26" s="19" t="s">
        <v>27</v>
      </c>
      <c r="D26" s="20" t="s">
        <v>28</v>
      </c>
      <c r="E26" s="21" t="s">
        <v>29</v>
      </c>
      <c r="F26" s="22" t="s">
        <v>30</v>
      </c>
      <c r="G26" s="5"/>
    </row>
    <row r="27" spans="1:8" x14ac:dyDescent="0.25">
      <c r="A27" s="5"/>
      <c r="B27" s="23">
        <v>2022</v>
      </c>
      <c r="C27" s="24">
        <v>140948</v>
      </c>
      <c r="D27" s="25">
        <v>94766</v>
      </c>
      <c r="E27" s="26">
        <f>C27-D27</f>
        <v>46182</v>
      </c>
      <c r="F27" s="27">
        <f>B15-E27</f>
        <v>72227</v>
      </c>
      <c r="G27" s="5"/>
    </row>
    <row r="28" spans="1:8" x14ac:dyDescent="0.25">
      <c r="B28" s="28">
        <v>2023</v>
      </c>
      <c r="C28" s="24">
        <v>167441</v>
      </c>
      <c r="D28" s="29">
        <v>105211</v>
      </c>
      <c r="E28" s="26">
        <f t="shared" ref="E28:E31" si="0">C28-D28</f>
        <v>62230</v>
      </c>
      <c r="F28" s="27">
        <f t="shared" ref="F28:F31" si="1">B16-E28</f>
        <v>78718</v>
      </c>
    </row>
    <row r="29" spans="1:8" x14ac:dyDescent="0.25">
      <c r="B29" s="28">
        <v>2024</v>
      </c>
      <c r="C29" s="24">
        <v>190610</v>
      </c>
      <c r="D29" s="29">
        <v>111373</v>
      </c>
      <c r="E29" s="26">
        <f t="shared" si="0"/>
        <v>79237</v>
      </c>
      <c r="F29" s="27">
        <f t="shared" si="1"/>
        <v>88204</v>
      </c>
    </row>
    <row r="30" spans="1:8" x14ac:dyDescent="0.25">
      <c r="B30" s="28">
        <v>2025</v>
      </c>
      <c r="C30" s="24">
        <v>197493</v>
      </c>
      <c r="D30" s="29">
        <v>106123</v>
      </c>
      <c r="E30" s="26">
        <f t="shared" si="0"/>
        <v>91370</v>
      </c>
      <c r="F30" s="27">
        <f t="shared" si="1"/>
        <v>99240</v>
      </c>
    </row>
    <row r="31" spans="1:8" ht="15.75" thickBot="1" x14ac:dyDescent="0.3">
      <c r="B31" s="30">
        <v>2026</v>
      </c>
      <c r="C31" s="31">
        <v>195335</v>
      </c>
      <c r="D31" s="32">
        <v>95495</v>
      </c>
      <c r="E31" s="33">
        <f t="shared" si="0"/>
        <v>99840</v>
      </c>
      <c r="F31" s="34">
        <f t="shared" si="1"/>
        <v>97653</v>
      </c>
    </row>
  </sheetData>
  <autoFilter ref="A3:G9" xr:uid="{8D678BA9-513F-49C2-867A-7D20E80CFF09}"/>
  <mergeCells count="3">
    <mergeCell ref="A2:C2"/>
    <mergeCell ref="A13:D13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ACU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Graupmann, Evan T. (The Mitre Corporation)</dc:creator>
  <cp:lastModifiedBy>Graupmann, Evan T. (The Mitre Corporation)</cp:lastModifiedBy>
  <dcterms:created xsi:type="dcterms:W3CDTF">2026-08-26T18:12:34Z</dcterms:created>
  <dcterms:modified xsi:type="dcterms:W3CDTF">2026-08-26T18:13:04Z</dcterms:modified>
</cp:coreProperties>
</file>
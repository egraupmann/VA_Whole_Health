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evan_graupmann_va_gov/Documents/Desktop/acupuncture_python_code/"/>
    </mc:Choice>
  </mc:AlternateContent>
  <xr:revisionPtr revIDLastSave="29" documentId="8_{25624CF4-6662-44AC-AC0D-6004D524B2E7}" xr6:coauthVersionLast="47" xr6:coauthVersionMax="47" xr10:uidLastSave="{FB08F03A-4A04-47E8-B2E4-9CBF6AB01411}"/>
  <bookViews>
    <workbookView xWindow="-120" yWindow="-120" windowWidth="29040" windowHeight="17640" activeTab="1" xr2:uid="{00000000-000D-0000-FFFF-FFFF00000000}"/>
  </bookViews>
  <sheets>
    <sheet name="Acupuncture Breakout Time" sheetId="1" r:id="rId1"/>
    <sheet name="CHAR4 counts" sheetId="2" r:id="rId2"/>
  </sheets>
  <definedNames>
    <definedName name="_xlnm._FilterDatabase" localSheetId="1" hidden="1">'CHAR4 counts'!$A$1:$B$33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F19" i="1"/>
</calcChain>
</file>

<file path=xl/sharedStrings.xml><?xml version="1.0" encoding="utf-8"?>
<sst xmlns="http://schemas.openxmlformats.org/spreadsheetml/2006/main" count="67" uniqueCount="67">
  <si>
    <t>Acupuncture Breakout Time</t>
  </si>
  <si>
    <t>Acupuncture ALL Enc, Acupuncture ENC, Acup BFA-NADA Enc, Acup BFA-NADA wo ACUP or CPT, Acup BFA Enc, Acup NADA Enc, Acup IACT CHAR4 Enc, Acup BFA Uniq, Acup NADA Uniq, Acup IACT CHAR4 Uniq by FY -Day Drill Path (Appointment Status)</t>
  </si>
  <si>
    <t>Acupuncture ALL Enc</t>
  </si>
  <si>
    <t>Acupuncture ENC</t>
  </si>
  <si>
    <t>Acup BFA-NADA Enc</t>
  </si>
  <si>
    <t>Acup BFA-NADA wo ACUP or CPT</t>
  </si>
  <si>
    <t>Acup BFA Enc</t>
  </si>
  <si>
    <t>Acup NADA Enc</t>
  </si>
  <si>
    <t>Acup IACT CHAR4 Enc</t>
  </si>
  <si>
    <t>Acup BFA Uniq</t>
  </si>
  <si>
    <t>Acup NADA Uniq</t>
  </si>
  <si>
    <t>Acup IACT CHAR4 Uniq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</si>
  <si>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</si>
  <si>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</si>
  <si>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</si>
  <si>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</si>
  <si>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</si>
  <si>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</si>
  <si>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</si>
  <si>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</si>
  <si>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</si>
  <si>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</si>
  <si>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</si>
  <si>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Compendium Reported</t>
  </si>
  <si>
    <t>Acup - Trad Telehealth</t>
  </si>
  <si>
    <t>Acup - Trad All</t>
  </si>
  <si>
    <t>Acup - Trad VA location</t>
  </si>
  <si>
    <t>Acup - Trad Community Care</t>
  </si>
  <si>
    <t>Acup - BFA All</t>
  </si>
  <si>
    <t>Acup - BFA VA location</t>
  </si>
  <si>
    <t>Acupuncture Trad</t>
  </si>
  <si>
    <t>Pyramid</t>
  </si>
  <si>
    <t>record_count</t>
  </si>
  <si>
    <t>nationalchar4</t>
  </si>
  <si>
    <t>RHGC</t>
  </si>
  <si>
    <t>MPAL</t>
  </si>
  <si>
    <t>SCHC</t>
  </si>
  <si>
    <t>WCEC</t>
  </si>
  <si>
    <t>WCHC</t>
  </si>
  <si>
    <t>WCJC</t>
  </si>
  <si>
    <t>NULL</t>
  </si>
  <si>
    <t>ACUP</t>
  </si>
  <si>
    <t>RLXT</t>
  </si>
  <si>
    <t>MMMT</t>
  </si>
  <si>
    <t>BIOF</t>
  </si>
  <si>
    <t>HTAC</t>
  </si>
  <si>
    <t>IACT</t>
  </si>
  <si>
    <t>TAIC</t>
  </si>
  <si>
    <t>RFLX</t>
  </si>
  <si>
    <t>MSGT</t>
  </si>
  <si>
    <t>PNTC</t>
  </si>
  <si>
    <t>REIK</t>
  </si>
  <si>
    <t>IDHC</t>
  </si>
  <si>
    <t>YOGA</t>
  </si>
  <si>
    <t>MDTN</t>
  </si>
  <si>
    <t>HYPN</t>
  </si>
  <si>
    <t>WCGC</t>
  </si>
  <si>
    <t>MBSR</t>
  </si>
  <si>
    <t>GIMA</t>
  </si>
  <si>
    <t>WCDC</t>
  </si>
  <si>
    <t>HTFC</t>
  </si>
  <si>
    <t>SCVT</t>
  </si>
  <si>
    <t>MPAT</t>
  </si>
  <si>
    <t>CDTC</t>
  </si>
  <si>
    <t>CGNC</t>
  </si>
  <si>
    <t>SNVC</t>
  </si>
  <si>
    <t>since FY22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</si>
</sst>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6" x14ac:knownFonts="1">
    <font>
      <sz val="11"/>
      <color indexed="8"/>
      <name val="Aptos Narrow"/>
      <family val="2"/>
      <scheme val="minor"/>
    </font>
    <font>
      <b/>
      <sz val="16"/>
      <name val="Calibri"/>
    </font>
    <font>
      <sz val="11"/>
      <color rgb="FF000000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8F40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vertical="top"/>
    </xf>
    <xf numFmtId="0" fontId="1" fillId="0" borderId="0" xfId="0" applyFont="1"/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vertical="top"/>
    </xf>
    <xf numFmtId="166" fontId="2" fillId="0" borderId="0" xfId="1" applyNumberFormat="1" applyFont="1" applyFill="1" applyBorder="1" applyAlignment="1">
      <alignment vertical="top"/>
    </xf>
    <xf numFmtId="0" fontId="5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3" borderId="0" xfId="0" applyFont="1" applyFill="1" applyBorder="1" applyAlignment="1">
      <alignment vertical="top"/>
    </xf>
    <xf numFmtId="166" fontId="0" fillId="0" borderId="0" xfId="1" applyNumberFormat="1" applyFont="1"/>
    <xf numFmtId="166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30" sqref="C30"/>
    </sheetView>
  </sheetViews>
  <sheetFormatPr defaultRowHeight="15" x14ac:dyDescent="0.25"/>
  <cols>
    <col min="1" max="1" width="36" customWidth="1"/>
    <col min="2" max="5" width="10" customWidth="1"/>
    <col min="6" max="55" width="11" customWidth="1"/>
    <col min="56" max="59" width="10" customWidth="1"/>
    <col min="60" max="131" width="11" customWidth="1"/>
    <col min="132" max="132" width="15" customWidth="1"/>
  </cols>
  <sheetData>
    <row r="1" spans="1:29" ht="2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2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4" spans="1:29" x14ac:dyDescent="0.25">
      <c r="A4" t="s">
        <v>31</v>
      </c>
    </row>
    <row r="5" spans="1:29" x14ac:dyDescent="0.25">
      <c r="B5" s="7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8" t="s">
        <v>17</v>
      </c>
      <c r="H5" s="8" t="s">
        <v>18</v>
      </c>
      <c r="I5" s="8" t="s">
        <v>19</v>
      </c>
      <c r="J5" s="8" t="s">
        <v>20</v>
      </c>
      <c r="K5" s="8" t="s">
        <v>21</v>
      </c>
      <c r="L5" s="8" t="s">
        <v>22</v>
      </c>
    </row>
    <row r="6" spans="1:29" x14ac:dyDescent="0.25">
      <c r="A6" s="1" t="s">
        <v>2</v>
      </c>
      <c r="B6" s="6">
        <v>128241</v>
      </c>
      <c r="C6" s="6">
        <v>157604</v>
      </c>
      <c r="D6" s="6">
        <v>195756</v>
      </c>
      <c r="E6" s="6">
        <v>263737</v>
      </c>
      <c r="F6" s="6">
        <v>188404</v>
      </c>
      <c r="G6" s="6">
        <v>219089</v>
      </c>
      <c r="H6" s="6">
        <v>290155</v>
      </c>
      <c r="I6" s="6">
        <v>375967</v>
      </c>
      <c r="J6" s="6">
        <v>469244</v>
      </c>
      <c r="K6" s="6">
        <v>520296</v>
      </c>
      <c r="L6" s="6">
        <v>443108</v>
      </c>
    </row>
    <row r="7" spans="1:29" x14ac:dyDescent="0.25">
      <c r="A7" s="1" t="s">
        <v>3</v>
      </c>
      <c r="B7" s="6">
        <v>127933</v>
      </c>
      <c r="C7" s="6">
        <v>156356</v>
      </c>
      <c r="D7" s="6">
        <v>193876</v>
      </c>
      <c r="E7" s="6">
        <v>259889</v>
      </c>
      <c r="F7" s="6">
        <v>184353</v>
      </c>
      <c r="G7" s="6">
        <v>214244</v>
      </c>
      <c r="H7" s="6">
        <v>278347</v>
      </c>
      <c r="I7" s="6">
        <v>363425</v>
      </c>
      <c r="J7" s="6">
        <v>460940</v>
      </c>
      <c r="K7" s="6">
        <v>513275</v>
      </c>
      <c r="L7" s="6">
        <v>435978</v>
      </c>
    </row>
    <row r="8" spans="1:29" x14ac:dyDescent="0.25">
      <c r="A8" s="1" t="s">
        <v>30</v>
      </c>
      <c r="B8" s="6"/>
      <c r="C8" s="6">
        <v>129046</v>
      </c>
      <c r="D8" s="6">
        <v>150574</v>
      </c>
      <c r="E8" s="6">
        <v>179247</v>
      </c>
      <c r="F8" s="6">
        <v>116293</v>
      </c>
      <c r="G8" s="6"/>
      <c r="H8" s="6"/>
      <c r="I8" s="6"/>
      <c r="J8" s="6"/>
      <c r="K8" s="6"/>
      <c r="L8" s="6"/>
    </row>
    <row r="9" spans="1:29" x14ac:dyDescent="0.25">
      <c r="A9" s="1" t="s">
        <v>4</v>
      </c>
      <c r="B9" s="6">
        <v>5081</v>
      </c>
      <c r="C9" s="6">
        <v>14903</v>
      </c>
      <c r="D9" s="6">
        <v>23531</v>
      </c>
      <c r="E9" s="6">
        <v>44169</v>
      </c>
      <c r="F9" s="6">
        <v>38081</v>
      </c>
      <c r="G9" s="6">
        <v>40778</v>
      </c>
      <c r="H9" s="6">
        <v>77460</v>
      </c>
      <c r="I9" s="6">
        <v>110892</v>
      </c>
      <c r="J9" s="6">
        <v>153781</v>
      </c>
      <c r="K9" s="6">
        <v>192460</v>
      </c>
      <c r="L9" s="6">
        <v>172327</v>
      </c>
    </row>
    <row r="10" spans="1:29" x14ac:dyDescent="0.25">
      <c r="A10" s="1" t="s">
        <v>5</v>
      </c>
      <c r="B10" s="6">
        <v>4773</v>
      </c>
      <c r="C10" s="6">
        <v>13655</v>
      </c>
      <c r="D10" s="6">
        <v>21651</v>
      </c>
      <c r="E10" s="6">
        <v>40321</v>
      </c>
      <c r="F10" s="6">
        <v>34030</v>
      </c>
      <c r="G10" s="6">
        <v>35933</v>
      </c>
      <c r="H10" s="6">
        <v>65652</v>
      </c>
      <c r="I10" s="6">
        <v>98350</v>
      </c>
      <c r="J10" s="6">
        <v>145477</v>
      </c>
      <c r="K10" s="6">
        <v>185439</v>
      </c>
      <c r="L10" s="6">
        <v>165197</v>
      </c>
    </row>
    <row r="11" spans="1:29" x14ac:dyDescent="0.25">
      <c r="A11" s="1" t="s">
        <v>6</v>
      </c>
      <c r="B11" s="6">
        <v>0</v>
      </c>
      <c r="C11" s="6">
        <v>0</v>
      </c>
      <c r="D11" s="6">
        <v>0</v>
      </c>
      <c r="E11" s="6">
        <v>2068</v>
      </c>
      <c r="F11" s="6">
        <v>2060</v>
      </c>
      <c r="G11" s="6">
        <v>14527</v>
      </c>
      <c r="H11" s="6">
        <v>49938</v>
      </c>
      <c r="I11" s="6">
        <v>75150</v>
      </c>
      <c r="J11" s="6">
        <v>119559</v>
      </c>
      <c r="K11" s="6">
        <v>148760</v>
      </c>
      <c r="L11" s="6">
        <v>134255</v>
      </c>
    </row>
    <row r="12" spans="1:29" x14ac:dyDescent="0.25">
      <c r="A12" s="1" t="s">
        <v>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1921</v>
      </c>
      <c r="I12" s="6">
        <v>7693</v>
      </c>
      <c r="J12" s="6">
        <v>12259</v>
      </c>
      <c r="K12" s="6">
        <v>21474</v>
      </c>
      <c r="L12" s="6">
        <v>25851</v>
      </c>
    </row>
    <row r="13" spans="1:29" x14ac:dyDescent="0.25">
      <c r="A13" s="1" t="s">
        <v>8</v>
      </c>
      <c r="B13" s="6">
        <v>5081</v>
      </c>
      <c r="C13" s="6">
        <v>14903</v>
      </c>
      <c r="D13" s="6">
        <v>23531</v>
      </c>
      <c r="E13" s="6">
        <v>43297</v>
      </c>
      <c r="F13" s="6">
        <v>37518</v>
      </c>
      <c r="G13" s="6">
        <v>35466</v>
      </c>
      <c r="H13" s="6">
        <v>55580</v>
      </c>
      <c r="I13" s="6">
        <v>73951</v>
      </c>
      <c r="J13" s="6">
        <v>95011</v>
      </c>
      <c r="K13" s="6">
        <v>122481</v>
      </c>
      <c r="L13" s="6">
        <v>106496</v>
      </c>
    </row>
    <row r="14" spans="1:29" x14ac:dyDescent="0.25">
      <c r="A14" s="1" t="s">
        <v>9</v>
      </c>
      <c r="B14" s="6">
        <v>0</v>
      </c>
      <c r="C14" s="6">
        <v>0</v>
      </c>
      <c r="D14" s="6">
        <v>0</v>
      </c>
      <c r="E14" s="6">
        <v>1587</v>
      </c>
      <c r="F14" s="6">
        <v>1524</v>
      </c>
      <c r="G14" s="6">
        <v>10066</v>
      </c>
      <c r="H14" s="6">
        <v>34891</v>
      </c>
      <c r="I14" s="6">
        <v>53641</v>
      </c>
      <c r="J14" s="6">
        <v>83096</v>
      </c>
      <c r="K14" s="6">
        <v>100666</v>
      </c>
      <c r="L14" s="6">
        <v>90268</v>
      </c>
    </row>
    <row r="15" spans="1:29" x14ac:dyDescent="0.25">
      <c r="A15" s="1" t="s">
        <v>10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1170</v>
      </c>
      <c r="I15" s="6">
        <v>4426</v>
      </c>
      <c r="J15" s="6">
        <v>7183</v>
      </c>
      <c r="K15" s="6">
        <v>12849</v>
      </c>
      <c r="L15" s="6">
        <v>15553</v>
      </c>
    </row>
    <row r="16" spans="1:29" x14ac:dyDescent="0.25">
      <c r="A16" s="1" t="s">
        <v>11</v>
      </c>
      <c r="B16" s="6">
        <v>3749</v>
      </c>
      <c r="C16" s="6">
        <v>10406</v>
      </c>
      <c r="D16" s="6">
        <v>17070</v>
      </c>
      <c r="E16" s="6">
        <v>30216</v>
      </c>
      <c r="F16" s="6">
        <v>26041</v>
      </c>
      <c r="G16" s="6">
        <v>24566</v>
      </c>
      <c r="H16" s="6">
        <v>38543</v>
      </c>
      <c r="I16" s="6">
        <v>50969</v>
      </c>
      <c r="J16" s="6">
        <v>63712</v>
      </c>
      <c r="K16" s="6">
        <v>78662</v>
      </c>
      <c r="L16" s="6">
        <v>67408</v>
      </c>
    </row>
    <row r="17" spans="1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25">
      <c r="A18" s="9" t="s">
        <v>23</v>
      </c>
      <c r="B18" s="4"/>
    </row>
    <row r="19" spans="1:12" x14ac:dyDescent="0.25">
      <c r="A19" s="9" t="s">
        <v>25</v>
      </c>
      <c r="B19" s="11"/>
      <c r="C19" s="10">
        <v>516857</v>
      </c>
      <c r="D19" s="10">
        <v>689313</v>
      </c>
      <c r="E19" s="10">
        <v>868728</v>
      </c>
      <c r="F19" s="10">
        <f>SUM(F20:F22)</f>
        <v>704089</v>
      </c>
      <c r="G19" s="10"/>
      <c r="H19" s="10"/>
      <c r="I19" s="10"/>
      <c r="J19" s="10"/>
      <c r="K19" s="10"/>
      <c r="L19" s="10"/>
    </row>
    <row r="20" spans="1:12" x14ac:dyDescent="0.25">
      <c r="A20" s="9" t="s">
        <v>26</v>
      </c>
      <c r="B20" s="10"/>
      <c r="C20" s="10"/>
      <c r="D20" s="10">
        <f>D19-D21</f>
        <v>151585</v>
      </c>
      <c r="E20" s="10">
        <f>E19-E21</f>
        <v>187280</v>
      </c>
      <c r="F20" s="10">
        <v>129724</v>
      </c>
      <c r="G20" s="10"/>
      <c r="H20" s="10"/>
      <c r="I20" s="10"/>
      <c r="J20" s="10"/>
      <c r="K20" s="10"/>
      <c r="L20" s="10"/>
    </row>
    <row r="21" spans="1:12" x14ac:dyDescent="0.25">
      <c r="A21" s="9" t="s">
        <v>27</v>
      </c>
      <c r="B21" s="10"/>
      <c r="C21" s="10"/>
      <c r="D21" s="10">
        <v>537728</v>
      </c>
      <c r="E21" s="10">
        <v>681448</v>
      </c>
      <c r="F21" s="10">
        <v>568350</v>
      </c>
      <c r="G21" s="10"/>
      <c r="H21" s="10"/>
      <c r="I21" s="10"/>
      <c r="J21" s="10"/>
      <c r="K21" s="10"/>
      <c r="L21" s="10"/>
    </row>
    <row r="22" spans="1:12" x14ac:dyDescent="0.25">
      <c r="A22" s="9" t="s">
        <v>24</v>
      </c>
      <c r="B22" s="10"/>
      <c r="C22" s="10"/>
      <c r="D22" s="10"/>
      <c r="E22" s="10"/>
      <c r="F22" s="10">
        <v>6015</v>
      </c>
      <c r="G22" s="10"/>
      <c r="H22" s="10"/>
      <c r="I22" s="10"/>
      <c r="J22" s="10"/>
      <c r="K22" s="10"/>
      <c r="L22" s="10"/>
    </row>
    <row r="23" spans="1:12" x14ac:dyDescent="0.25">
      <c r="A23" s="9" t="s">
        <v>28</v>
      </c>
      <c r="B23" s="10"/>
      <c r="C23" s="10">
        <v>20474</v>
      </c>
      <c r="D23" s="10">
        <v>43796</v>
      </c>
      <c r="E23" s="10">
        <v>79869</v>
      </c>
      <c r="F23" s="10">
        <v>62644</v>
      </c>
      <c r="G23" s="10"/>
      <c r="H23" s="10"/>
      <c r="I23" s="10"/>
      <c r="J23" s="10"/>
      <c r="K23" s="10"/>
      <c r="L23" s="10"/>
    </row>
    <row r="24" spans="1:12" x14ac:dyDescent="0.25">
      <c r="A24" s="9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</sheetData>
  <mergeCells count="2">
    <mergeCell ref="A1:I1"/>
    <mergeCell ref="A2:AC2"/>
  </mergeCells>
  <phoneticPr fontId="4" type="noConversion"/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1915-D269-4092-B6F8-54B59A94272E}">
  <dimension ref="A1:E33"/>
  <sheetViews>
    <sheetView tabSelected="1" workbookViewId="0">
      <selection activeCell="J11" sqref="J11"/>
    </sheetView>
  </sheetViews>
  <sheetFormatPr defaultRowHeight="15" x14ac:dyDescent="0.25"/>
  <cols>
    <col min="1" max="1" width="15.85546875" bestFit="1" customWidth="1"/>
    <col min="2" max="2" width="14.85546875" style="10" bestFit="1" customWidth="1"/>
  </cols>
  <sheetData>
    <row r="1" spans="1:5" x14ac:dyDescent="0.25">
      <c r="A1" t="s">
        <v>33</v>
      </c>
      <c r="B1" s="10" t="s">
        <v>32</v>
      </c>
      <c r="E1" t="s">
        <v>66</v>
      </c>
    </row>
    <row r="2" spans="1:5" x14ac:dyDescent="0.25">
      <c r="A2" t="s">
        <v>40</v>
      </c>
      <c r="B2" s="10">
        <v>23942198</v>
      </c>
    </row>
    <row r="3" spans="1:5" x14ac:dyDescent="0.25">
      <c r="A3" t="s">
        <v>52</v>
      </c>
      <c r="B3" s="10">
        <v>3126655</v>
      </c>
    </row>
    <row r="4" spans="1:5" x14ac:dyDescent="0.25">
      <c r="A4" t="s">
        <v>37</v>
      </c>
      <c r="B4" s="10">
        <v>2055108</v>
      </c>
    </row>
    <row r="5" spans="1:5" x14ac:dyDescent="0.25">
      <c r="A5" t="s">
        <v>34</v>
      </c>
      <c r="B5" s="10">
        <v>1823656</v>
      </c>
    </row>
    <row r="6" spans="1:5" x14ac:dyDescent="0.25">
      <c r="A6" t="s">
        <v>62</v>
      </c>
      <c r="B6" s="10">
        <v>1026456</v>
      </c>
    </row>
    <row r="7" spans="1:5" x14ac:dyDescent="0.25">
      <c r="A7" t="s">
        <v>41</v>
      </c>
      <c r="B7" s="10">
        <v>989804</v>
      </c>
    </row>
    <row r="8" spans="1:5" x14ac:dyDescent="0.25">
      <c r="A8" t="s">
        <v>38</v>
      </c>
      <c r="B8" s="10">
        <v>960303</v>
      </c>
    </row>
    <row r="9" spans="1:5" x14ac:dyDescent="0.25">
      <c r="A9" t="s">
        <v>63</v>
      </c>
      <c r="B9" s="10">
        <v>495756</v>
      </c>
    </row>
    <row r="10" spans="1:5" x14ac:dyDescent="0.25">
      <c r="A10" t="s">
        <v>53</v>
      </c>
      <c r="B10" s="10">
        <v>489219</v>
      </c>
    </row>
    <row r="11" spans="1:5" x14ac:dyDescent="0.25">
      <c r="A11" t="s">
        <v>47</v>
      </c>
      <c r="B11" s="10">
        <v>443413</v>
      </c>
    </row>
    <row r="12" spans="1:5" x14ac:dyDescent="0.25">
      <c r="A12" t="s">
        <v>46</v>
      </c>
      <c r="B12" s="10">
        <v>397939</v>
      </c>
    </row>
    <row r="13" spans="1:5" x14ac:dyDescent="0.25">
      <c r="A13" t="s">
        <v>59</v>
      </c>
      <c r="B13" s="10">
        <v>242592</v>
      </c>
    </row>
    <row r="14" spans="1:5" x14ac:dyDescent="0.25">
      <c r="A14" t="s">
        <v>49</v>
      </c>
      <c r="B14" s="10">
        <v>230796</v>
      </c>
    </row>
    <row r="15" spans="1:5" x14ac:dyDescent="0.25">
      <c r="A15" t="s">
        <v>54</v>
      </c>
      <c r="B15" s="10">
        <v>222888</v>
      </c>
    </row>
    <row r="16" spans="1:5" x14ac:dyDescent="0.25">
      <c r="A16" t="s">
        <v>48</v>
      </c>
      <c r="B16" s="10">
        <v>217212</v>
      </c>
    </row>
    <row r="17" spans="1:2" x14ac:dyDescent="0.25">
      <c r="A17" t="s">
        <v>45</v>
      </c>
      <c r="B17" s="10">
        <v>121402</v>
      </c>
    </row>
    <row r="18" spans="1:2" x14ac:dyDescent="0.25">
      <c r="A18" t="s">
        <v>57</v>
      </c>
      <c r="B18" s="10">
        <v>120015</v>
      </c>
    </row>
    <row r="19" spans="1:2" x14ac:dyDescent="0.25">
      <c r="A19" t="s">
        <v>42</v>
      </c>
      <c r="B19" s="10">
        <v>79415</v>
      </c>
    </row>
    <row r="20" spans="1:2" x14ac:dyDescent="0.25">
      <c r="A20" t="s">
        <v>60</v>
      </c>
      <c r="B20" s="10">
        <v>51562</v>
      </c>
    </row>
    <row r="21" spans="1:2" x14ac:dyDescent="0.25">
      <c r="A21" t="s">
        <v>58</v>
      </c>
      <c r="B21" s="10">
        <v>49473</v>
      </c>
    </row>
    <row r="22" spans="1:2" x14ac:dyDescent="0.25">
      <c r="A22" t="s">
        <v>56</v>
      </c>
      <c r="B22" s="10">
        <v>38481</v>
      </c>
    </row>
    <row r="23" spans="1:2" x14ac:dyDescent="0.25">
      <c r="A23" t="s">
        <v>39</v>
      </c>
      <c r="B23" s="10">
        <v>35439</v>
      </c>
    </row>
    <row r="24" spans="1:2" x14ac:dyDescent="0.25">
      <c r="A24" t="s">
        <v>44</v>
      </c>
      <c r="B24" s="10">
        <v>32398</v>
      </c>
    </row>
    <row r="25" spans="1:2" x14ac:dyDescent="0.25">
      <c r="A25" t="s">
        <v>64</v>
      </c>
      <c r="B25" s="10">
        <v>25134</v>
      </c>
    </row>
    <row r="26" spans="1:2" x14ac:dyDescent="0.25">
      <c r="A26" t="s">
        <v>36</v>
      </c>
      <c r="B26" s="10">
        <v>18858</v>
      </c>
    </row>
    <row r="27" spans="1:2" x14ac:dyDescent="0.25">
      <c r="A27" t="s">
        <v>55</v>
      </c>
      <c r="B27" s="10">
        <v>14527</v>
      </c>
    </row>
    <row r="28" spans="1:2" x14ac:dyDescent="0.25">
      <c r="A28" t="s">
        <v>50</v>
      </c>
      <c r="B28" s="10">
        <v>12473</v>
      </c>
    </row>
    <row r="29" spans="1:2" x14ac:dyDescent="0.25">
      <c r="A29" t="s">
        <v>65</v>
      </c>
      <c r="B29" s="10">
        <v>8805</v>
      </c>
    </row>
    <row r="30" spans="1:2" x14ac:dyDescent="0.25">
      <c r="A30" t="s">
        <v>61</v>
      </c>
      <c r="B30" s="10">
        <v>2620</v>
      </c>
    </row>
    <row r="31" spans="1:2" x14ac:dyDescent="0.25">
      <c r="A31" t="s">
        <v>43</v>
      </c>
      <c r="B31" s="10">
        <v>246</v>
      </c>
    </row>
    <row r="32" spans="1:2" x14ac:dyDescent="0.25">
      <c r="A32" t="s">
        <v>35</v>
      </c>
      <c r="B32" s="10">
        <v>189</v>
      </c>
    </row>
    <row r="33" spans="1:2" x14ac:dyDescent="0.25">
      <c r="A33" t="s">
        <v>51</v>
      </c>
      <c r="B33" s="10">
        <v>9</v>
      </c>
    </row>
  </sheetData>
  <autoFilter ref="A1:B33" xr:uid="{EB9C1915-D269-4092-B6F8-54B59A94272E}">
    <sortState xmlns:xlrd2="http://schemas.microsoft.com/office/spreadsheetml/2017/richdata2" ref="A2:B33">
      <sortCondition descending="1" ref="B1:B33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Acupuncture Breakout Time</vt:lpstr>
      <vt:lpstr>CHAR4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Graupmann, Evan T. (The Mitre Corporation)</cp:lastModifiedBy>
  <dcterms:created xsi:type="dcterms:W3CDTF">2026-08-05T14:59:53Z</dcterms:created>
  <dcterms:modified xsi:type="dcterms:W3CDTF">2026-08-05T18:25:18Z</dcterms:modified>
</cp:coreProperties>
</file>